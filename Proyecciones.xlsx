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36" windowWidth="14628" windowHeight="5856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31" i="1" l="1"/>
  <c r="J45" i="1"/>
  <c r="K15" i="1"/>
  <c r="J15" i="1"/>
  <c r="F15" i="1"/>
  <c r="J30" i="1"/>
  <c r="I44" i="1"/>
  <c r="J44" i="1" s="1"/>
  <c r="I43" i="1"/>
  <c r="J43" i="1" s="1"/>
  <c r="J42" i="1"/>
  <c r="I42" i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J34" i="1"/>
  <c r="I34" i="1"/>
  <c r="I33" i="1"/>
  <c r="J33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J8" i="1"/>
  <c r="K8" i="1" s="1"/>
  <c r="I8" i="1"/>
  <c r="I7" i="1"/>
  <c r="J7" i="1" s="1"/>
  <c r="K7" i="1" s="1"/>
  <c r="I6" i="1"/>
  <c r="J6" i="1" s="1"/>
  <c r="K6" i="1" s="1"/>
  <c r="J5" i="1"/>
  <c r="K5" i="1" s="1"/>
  <c r="I5" i="1"/>
  <c r="J4" i="1"/>
  <c r="K4" i="1" s="1"/>
  <c r="I4" i="1"/>
  <c r="I3" i="1"/>
  <c r="J3" i="1" s="1"/>
  <c r="K3" i="1" s="1"/>
  <c r="J19" i="1"/>
  <c r="J20" i="1"/>
  <c r="J21" i="1"/>
  <c r="J22" i="1"/>
  <c r="J23" i="1"/>
  <c r="J24" i="1"/>
  <c r="J25" i="1"/>
  <c r="J26" i="1"/>
  <c r="J27" i="1"/>
  <c r="J28" i="1"/>
  <c r="J29" i="1"/>
  <c r="J18" i="1"/>
  <c r="I29" i="1"/>
  <c r="I28" i="1"/>
  <c r="I27" i="1"/>
  <c r="I26" i="1"/>
  <c r="I25" i="1"/>
  <c r="I24" i="1"/>
  <c r="I23" i="1"/>
  <c r="I22" i="1"/>
  <c r="I21" i="1"/>
  <c r="I20" i="1"/>
  <c r="I19" i="1"/>
  <c r="I18" i="1"/>
  <c r="C34" i="1" l="1"/>
  <c r="E44" i="1"/>
  <c r="E43" i="1"/>
  <c r="E42" i="1"/>
  <c r="E41" i="1"/>
  <c r="E40" i="1"/>
  <c r="E39" i="1"/>
  <c r="E38" i="1"/>
  <c r="E37" i="1"/>
  <c r="E36" i="1"/>
  <c r="E35" i="1"/>
  <c r="E34" i="1"/>
  <c r="E33" i="1"/>
  <c r="E19" i="1"/>
  <c r="E20" i="1"/>
  <c r="E21" i="1"/>
  <c r="E22" i="1"/>
  <c r="E23" i="1"/>
  <c r="E24" i="1"/>
  <c r="E25" i="1"/>
  <c r="E26" i="1"/>
  <c r="E27" i="1"/>
  <c r="E28" i="1"/>
  <c r="E29" i="1"/>
  <c r="E18" i="1"/>
  <c r="C35" i="1" l="1"/>
  <c r="C36" i="1"/>
  <c r="C37" i="1"/>
  <c r="C38" i="1"/>
  <c r="C39" i="1"/>
  <c r="C40" i="1"/>
  <c r="D40" i="1" s="1"/>
  <c r="F40" i="1" s="1"/>
  <c r="C41" i="1"/>
  <c r="C42" i="1"/>
  <c r="D42" i="1" s="1"/>
  <c r="C43" i="1"/>
  <c r="D43" i="1" s="1"/>
  <c r="F43" i="1" s="1"/>
  <c r="C44" i="1"/>
  <c r="C33" i="1"/>
  <c r="D35" i="1"/>
  <c r="D34" i="1"/>
  <c r="C19" i="1"/>
  <c r="D19" i="1" s="1"/>
  <c r="F19" i="1" s="1"/>
  <c r="C20" i="1"/>
  <c r="D20" i="1" s="1"/>
  <c r="F20" i="1" s="1"/>
  <c r="C21" i="1"/>
  <c r="D21" i="1" s="1"/>
  <c r="F21" i="1" s="1"/>
  <c r="C22" i="1"/>
  <c r="D22" i="1" s="1"/>
  <c r="F22" i="1" s="1"/>
  <c r="C23" i="1"/>
  <c r="D23" i="1" s="1"/>
  <c r="F23" i="1" s="1"/>
  <c r="C24" i="1"/>
  <c r="D24" i="1" s="1"/>
  <c r="F24" i="1" s="1"/>
  <c r="C25" i="1"/>
  <c r="D25" i="1" s="1"/>
  <c r="F25" i="1" s="1"/>
  <c r="C26" i="1"/>
  <c r="D26" i="1" s="1"/>
  <c r="F26" i="1" s="1"/>
  <c r="C27" i="1"/>
  <c r="D27" i="1" s="1"/>
  <c r="F27" i="1" s="1"/>
  <c r="C28" i="1"/>
  <c r="D28" i="1" s="1"/>
  <c r="F28" i="1" s="1"/>
  <c r="C29" i="1"/>
  <c r="D29" i="1" s="1"/>
  <c r="F29" i="1" s="1"/>
  <c r="C18" i="1"/>
  <c r="D18" i="1" s="1"/>
  <c r="F18" i="1" s="1"/>
  <c r="G4" i="1"/>
  <c r="G5" i="1"/>
  <c r="G6" i="1"/>
  <c r="G7" i="1"/>
  <c r="G8" i="1"/>
  <c r="G9" i="1"/>
  <c r="G10" i="1"/>
  <c r="G11" i="1"/>
  <c r="G12" i="1"/>
  <c r="G13" i="1"/>
  <c r="G14" i="1"/>
  <c r="G3" i="1"/>
  <c r="F4" i="1"/>
  <c r="F5" i="1"/>
  <c r="F6" i="1"/>
  <c r="F7" i="1"/>
  <c r="F8" i="1"/>
  <c r="F9" i="1"/>
  <c r="F10" i="1"/>
  <c r="F11" i="1"/>
  <c r="F12" i="1"/>
  <c r="F13" i="1"/>
  <c r="F14" i="1"/>
  <c r="F3" i="1"/>
  <c r="D4" i="1"/>
  <c r="D5" i="1"/>
  <c r="D6" i="1"/>
  <c r="D7" i="1"/>
  <c r="D8" i="1"/>
  <c r="D9" i="1"/>
  <c r="D10" i="1"/>
  <c r="D11" i="1"/>
  <c r="D12" i="1"/>
  <c r="D13" i="1"/>
  <c r="D14" i="1"/>
  <c r="D3" i="1"/>
  <c r="E4" i="1"/>
  <c r="E5" i="1"/>
  <c r="E6" i="1"/>
  <c r="E7" i="1"/>
  <c r="E8" i="1"/>
  <c r="E9" i="1"/>
  <c r="E10" i="1"/>
  <c r="E11" i="1"/>
  <c r="E12" i="1"/>
  <c r="E13" i="1"/>
  <c r="E14" i="1"/>
  <c r="E3" i="1"/>
  <c r="C4" i="1"/>
  <c r="C5" i="1"/>
  <c r="C6" i="1"/>
  <c r="C7" i="1"/>
  <c r="C8" i="1"/>
  <c r="C9" i="1"/>
  <c r="C10" i="1"/>
  <c r="C11" i="1"/>
  <c r="C12" i="1"/>
  <c r="C13" i="1"/>
  <c r="C14" i="1"/>
  <c r="C3" i="1"/>
  <c r="G40" i="1" l="1"/>
  <c r="K40" i="1"/>
  <c r="G43" i="1"/>
  <c r="K43" i="1"/>
  <c r="G19" i="1"/>
  <c r="K19" i="1"/>
  <c r="G25" i="1"/>
  <c r="K25" i="1"/>
  <c r="G23" i="1"/>
  <c r="K23" i="1"/>
  <c r="G26" i="1"/>
  <c r="K26" i="1"/>
  <c r="G18" i="1"/>
  <c r="K18" i="1"/>
  <c r="F30" i="1"/>
  <c r="K30" i="1" s="1"/>
  <c r="G21" i="1"/>
  <c r="K21" i="1"/>
  <c r="G27" i="1"/>
  <c r="K27" i="1"/>
  <c r="G24" i="1"/>
  <c r="K24" i="1"/>
  <c r="G22" i="1"/>
  <c r="K22" i="1"/>
  <c r="G29" i="1"/>
  <c r="K29" i="1"/>
  <c r="G28" i="1"/>
  <c r="K28" i="1"/>
  <c r="G20" i="1"/>
  <c r="K20" i="1"/>
  <c r="F35" i="1"/>
  <c r="F42" i="1"/>
  <c r="F34" i="1"/>
  <c r="D37" i="1"/>
  <c r="F37" i="1" s="1"/>
  <c r="D44" i="1"/>
  <c r="F44" i="1" s="1"/>
  <c r="D41" i="1"/>
  <c r="F41" i="1" s="1"/>
  <c r="D39" i="1"/>
  <c r="F39" i="1" s="1"/>
  <c r="D36" i="1"/>
  <c r="F36" i="1" s="1"/>
  <c r="D33" i="1"/>
  <c r="F33" i="1" s="1"/>
  <c r="D38" i="1"/>
  <c r="F38" i="1" s="1"/>
  <c r="G38" i="1" l="1"/>
  <c r="K38" i="1"/>
  <c r="G33" i="1"/>
  <c r="F45" i="1"/>
  <c r="K45" i="1" s="1"/>
  <c r="K33" i="1"/>
  <c r="G39" i="1"/>
  <c r="K39" i="1"/>
  <c r="G34" i="1"/>
  <c r="K34" i="1"/>
  <c r="G42" i="1"/>
  <c r="K42" i="1"/>
  <c r="G35" i="1"/>
  <c r="K35" i="1"/>
  <c r="G36" i="1"/>
  <c r="K36" i="1"/>
  <c r="G41" i="1"/>
  <c r="K41" i="1"/>
  <c r="G44" i="1"/>
  <c r="K44" i="1"/>
  <c r="G37" i="1"/>
  <c r="K37" i="1"/>
</calcChain>
</file>

<file path=xl/sharedStrings.xml><?xml version="1.0" encoding="utf-8"?>
<sst xmlns="http://schemas.openxmlformats.org/spreadsheetml/2006/main" count="38" uniqueCount="17">
  <si>
    <t>Mes</t>
  </si>
  <si>
    <t>Ingreso USD</t>
  </si>
  <si>
    <t>TC proyectado (sin cobertura)</t>
  </si>
  <si>
    <t>Ingreso ARS equivalente</t>
  </si>
  <si>
    <t>Costos ARS</t>
  </si>
  <si>
    <t>Resultado USD equiv</t>
  </si>
  <si>
    <t>TC base</t>
  </si>
  <si>
    <t>TC Forward Acordado</t>
  </si>
  <si>
    <t>Ingreso ARS equivalente (descubierto)</t>
  </si>
  <si>
    <t>Ingreso(cubierto)</t>
  </si>
  <si>
    <t>Resultado ARS</t>
  </si>
  <si>
    <t>Diferencia</t>
  </si>
  <si>
    <t>Resultado ARS (cubierto)</t>
  </si>
  <si>
    <t>(Tasa de devalucion mensual fija de los ultimos 12 meses)</t>
  </si>
  <si>
    <t>(Tasa moderada por 2.5)</t>
  </si>
  <si>
    <t>TC devaluacion fuerte</t>
  </si>
  <si>
    <t>TC devaluacion 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</si>
</sst>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B2:K15" totalsRowShown="0" headerRowDxfId="24" dataDxfId="25">
  <autoFilter ref="B2:K15"/>
  <tableColumns count="10">
    <tableColumn id="1" name="Ingreso USD" dataDxfId="35"/>
    <tableColumn id="2" name="TC proyectado (sin cobertura)" dataDxfId="34"/>
    <tableColumn id="3" name="Ingreso ARS equivalente" dataDxfId="33"/>
    <tableColumn id="4" name="Costos ARS" dataDxfId="32"/>
    <tableColumn id="5" name="Resultado ARS" dataDxfId="31"/>
    <tableColumn id="6" name="Resultado USD equiv" dataDxfId="30"/>
    <tableColumn id="7" name="TC Forward Acordado" dataDxfId="29"/>
    <tableColumn id="8" name="Ingreso(cubierto)" dataDxfId="28"/>
    <tableColumn id="9" name="Resultado ARS (cubierto)" dataDxfId="27"/>
    <tableColumn id="10" name="Diferencia" dataDxfId="26">
      <calculatedColumnFormula>J3-F3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17:K30" totalsRowShown="0" headerRowDxfId="12" dataDxfId="13">
  <autoFilter ref="B17:K30"/>
  <tableColumns count="10">
    <tableColumn id="1" name="Ingreso USD" dataDxfId="23"/>
    <tableColumn id="2" name="TC proyectado (sin cobertura)" dataDxfId="22"/>
    <tableColumn id="3" name="Ingreso ARS equivalente (descubierto)" dataDxfId="21"/>
    <tableColumn id="4" name="Costos ARS" dataDxfId="20"/>
    <tableColumn id="5" name="Resultado ARS" dataDxfId="19"/>
    <tableColumn id="6" name="Resultado USD equiv" dataDxfId="18"/>
    <tableColumn id="7" name="TC Forward Acordado" dataDxfId="17"/>
    <tableColumn id="8" name="Ingreso(cubierto)" dataDxfId="16"/>
    <tableColumn id="9" name="Resultado ARS (cubierto)" dataDxfId="15"/>
    <tableColumn id="10" name="Diferencia" dataDxfId="14">
      <calculatedColumnFormula>J18-F18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32:K45" totalsRowShown="0" headerRowDxfId="0" dataDxfId="1">
  <autoFilter ref="B32:K45"/>
  <tableColumns count="10">
    <tableColumn id="1" name="Ingreso USD" dataDxfId="11"/>
    <tableColumn id="2" name="TC proyectado (sin cobertura)" dataDxfId="10"/>
    <tableColumn id="3" name="Ingreso ARS equivalente" dataDxfId="9"/>
    <tableColumn id="4" name="Costos ARS" dataDxfId="8"/>
    <tableColumn id="5" name="Resultado ARS" dataDxfId="7"/>
    <tableColumn id="6" name="Resultado USD equiv" dataDxfId="6"/>
    <tableColumn id="7" name="TC Forward Acordado" dataDxfId="5"/>
    <tableColumn id="8" name="Ingreso(cubierto)" dataDxfId="4"/>
    <tableColumn id="9" name="Resultado ARS (cubierto)" dataDxfId="3"/>
    <tableColumn id="10" name="Diferencia" dataDxfId="2">
      <calculatedColumnFormula>J33-F33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B1" workbookViewId="0">
      <selection activeCell="I38" sqref="I38"/>
    </sheetView>
  </sheetViews>
  <sheetFormatPr baseColWidth="10" defaultRowHeight="14.4" x14ac:dyDescent="0.3"/>
  <cols>
    <col min="1" max="1" width="27.44140625" style="1" bestFit="1" customWidth="1"/>
    <col min="2" max="2" width="12.77734375" style="1" customWidth="1"/>
    <col min="3" max="3" width="27" style="1" customWidth="1"/>
    <col min="4" max="4" width="33.44140625" style="1" customWidth="1"/>
    <col min="5" max="5" width="12" style="1" customWidth="1"/>
    <col min="6" max="6" width="14.5546875" style="1" customWidth="1"/>
    <col min="7" max="7" width="19.6640625" style="1" customWidth="1"/>
    <col min="8" max="8" width="20.5546875" style="1" customWidth="1"/>
    <col min="9" max="9" width="16.77734375" style="1" customWidth="1"/>
    <col min="10" max="10" width="22.88671875" style="1" customWidth="1"/>
    <col min="11" max="11" width="15.21875" style="2" bestFit="1" customWidth="1"/>
    <col min="12" max="16384" width="11.5546875" style="1"/>
  </cols>
  <sheetData>
    <row r="1" spans="1:11" x14ac:dyDescent="0.3">
      <c r="A1" s="1" t="s">
        <v>6</v>
      </c>
      <c r="C1" s="1">
        <v>1535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5</v>
      </c>
      <c r="H2" s="1" t="s">
        <v>7</v>
      </c>
      <c r="I2" s="1" t="s">
        <v>9</v>
      </c>
      <c r="J2" s="1" t="s">
        <v>12</v>
      </c>
      <c r="K2" s="2" t="s">
        <v>11</v>
      </c>
    </row>
    <row r="3" spans="1:11" x14ac:dyDescent="0.3">
      <c r="A3" s="1">
        <v>1</v>
      </c>
      <c r="B3" s="1">
        <v>500000</v>
      </c>
      <c r="C3" s="1">
        <f>$C$1</f>
        <v>1535</v>
      </c>
      <c r="D3" s="1">
        <f>B3*C3</f>
        <v>767500000</v>
      </c>
      <c r="E3" s="1">
        <f>300000*C3</f>
        <v>460500000</v>
      </c>
      <c r="F3" s="1">
        <f>D3-E3</f>
        <v>307000000</v>
      </c>
      <c r="G3" s="1">
        <f>F3/C3</f>
        <v>200000</v>
      </c>
      <c r="H3" s="1">
        <v>1610.618882</v>
      </c>
      <c r="I3" s="1">
        <f>H3*B3</f>
        <v>805309441</v>
      </c>
      <c r="J3" s="1">
        <f>I3-E3</f>
        <v>344809441</v>
      </c>
      <c r="K3" s="2">
        <f>J3-F3</f>
        <v>37809441</v>
      </c>
    </row>
    <row r="4" spans="1:11" x14ac:dyDescent="0.3">
      <c r="A4" s="1">
        <v>2</v>
      </c>
      <c r="B4" s="1">
        <v>500000</v>
      </c>
      <c r="C4" s="1">
        <f t="shared" ref="C4:C14" si="0">$C$1</f>
        <v>1535</v>
      </c>
      <c r="D4" s="1">
        <f t="shared" ref="D4:D14" si="1">B4*C4</f>
        <v>767500000</v>
      </c>
      <c r="E4" s="1">
        <f t="shared" ref="E4:E14" si="2">300000*C4</f>
        <v>460500000</v>
      </c>
      <c r="F4" s="1">
        <f t="shared" ref="F4:F14" si="3">D4-E4</f>
        <v>307000000</v>
      </c>
      <c r="G4" s="1">
        <f t="shared" ref="G4:G14" si="4">F4/C4</f>
        <v>200000</v>
      </c>
      <c r="H4" s="1">
        <v>1640.234209</v>
      </c>
      <c r="I4" s="1">
        <f t="shared" ref="I4:I14" si="5">H4*B4</f>
        <v>820117104.5</v>
      </c>
      <c r="J4" s="1">
        <f t="shared" ref="J4:J14" si="6">I4-E4</f>
        <v>359617104.5</v>
      </c>
      <c r="K4" s="2">
        <f t="shared" ref="K4:K15" si="7">J4-F4</f>
        <v>52617104.5</v>
      </c>
    </row>
    <row r="5" spans="1:11" x14ac:dyDescent="0.3">
      <c r="A5" s="1">
        <v>3</v>
      </c>
      <c r="B5" s="1">
        <v>500000</v>
      </c>
      <c r="C5" s="1">
        <f t="shared" si="0"/>
        <v>1535</v>
      </c>
      <c r="D5" s="1">
        <f t="shared" si="1"/>
        <v>767500000</v>
      </c>
      <c r="E5" s="1">
        <f t="shared" si="2"/>
        <v>460500000</v>
      </c>
      <c r="F5" s="1">
        <f t="shared" si="3"/>
        <v>307000000</v>
      </c>
      <c r="G5" s="1">
        <f t="shared" si="4"/>
        <v>200000</v>
      </c>
      <c r="H5" s="1">
        <v>1663.865877</v>
      </c>
      <c r="I5" s="1">
        <f t="shared" si="5"/>
        <v>831932938.5</v>
      </c>
      <c r="J5" s="1">
        <f t="shared" si="6"/>
        <v>371432938.5</v>
      </c>
      <c r="K5" s="2">
        <f t="shared" si="7"/>
        <v>64432938.5</v>
      </c>
    </row>
    <row r="6" spans="1:11" x14ac:dyDescent="0.3">
      <c r="A6" s="1">
        <v>4</v>
      </c>
      <c r="B6" s="1">
        <v>500000</v>
      </c>
      <c r="C6" s="1">
        <f t="shared" si="0"/>
        <v>1535</v>
      </c>
      <c r="D6" s="1">
        <f t="shared" si="1"/>
        <v>767500000</v>
      </c>
      <c r="E6" s="1">
        <f t="shared" si="2"/>
        <v>460500000</v>
      </c>
      <c r="F6" s="1">
        <f t="shared" si="3"/>
        <v>307000000</v>
      </c>
      <c r="G6" s="1">
        <f t="shared" si="4"/>
        <v>200000</v>
      </c>
      <c r="H6" s="1">
        <v>1693.1592720000001</v>
      </c>
      <c r="I6" s="1">
        <f t="shared" si="5"/>
        <v>846579636</v>
      </c>
      <c r="J6" s="1">
        <f t="shared" si="6"/>
        <v>386079636</v>
      </c>
      <c r="K6" s="2">
        <f t="shared" si="7"/>
        <v>79079636</v>
      </c>
    </row>
    <row r="7" spans="1:11" x14ac:dyDescent="0.3">
      <c r="A7" s="1">
        <v>5</v>
      </c>
      <c r="B7" s="1">
        <v>500000</v>
      </c>
      <c r="C7" s="1">
        <f t="shared" si="0"/>
        <v>1535</v>
      </c>
      <c r="D7" s="1">
        <f t="shared" si="1"/>
        <v>767500000</v>
      </c>
      <c r="E7" s="1">
        <f t="shared" si="2"/>
        <v>460500000</v>
      </c>
      <c r="F7" s="1">
        <f t="shared" si="3"/>
        <v>307000000</v>
      </c>
      <c r="G7" s="1">
        <f t="shared" si="4"/>
        <v>200000</v>
      </c>
      <c r="H7" s="1">
        <v>1723.595636</v>
      </c>
      <c r="I7" s="1">
        <f t="shared" si="5"/>
        <v>861797818</v>
      </c>
      <c r="J7" s="1">
        <f t="shared" si="6"/>
        <v>401297818</v>
      </c>
      <c r="K7" s="2">
        <f t="shared" si="7"/>
        <v>94297818</v>
      </c>
    </row>
    <row r="8" spans="1:11" x14ac:dyDescent="0.3">
      <c r="A8" s="1">
        <v>6</v>
      </c>
      <c r="B8" s="1">
        <v>500000</v>
      </c>
      <c r="C8" s="1">
        <f t="shared" si="0"/>
        <v>1535</v>
      </c>
      <c r="D8" s="1">
        <f t="shared" si="1"/>
        <v>767500000</v>
      </c>
      <c r="E8" s="1">
        <f t="shared" si="2"/>
        <v>460500000</v>
      </c>
      <c r="F8" s="1">
        <f t="shared" si="3"/>
        <v>307000000</v>
      </c>
      <c r="G8" s="1">
        <f t="shared" si="4"/>
        <v>200000</v>
      </c>
      <c r="H8" s="1">
        <v>1753.510147</v>
      </c>
      <c r="I8" s="1">
        <f t="shared" si="5"/>
        <v>876755073.5</v>
      </c>
      <c r="J8" s="1">
        <f t="shared" si="6"/>
        <v>416255073.5</v>
      </c>
      <c r="K8" s="2">
        <f t="shared" si="7"/>
        <v>109255073.5</v>
      </c>
    </row>
    <row r="9" spans="1:11" x14ac:dyDescent="0.3">
      <c r="A9" s="1">
        <v>7</v>
      </c>
      <c r="B9" s="1">
        <v>500000</v>
      </c>
      <c r="C9" s="1">
        <f t="shared" si="0"/>
        <v>1535</v>
      </c>
      <c r="D9" s="1">
        <f t="shared" si="1"/>
        <v>767500000</v>
      </c>
      <c r="E9" s="1">
        <f t="shared" si="2"/>
        <v>460500000</v>
      </c>
      <c r="F9" s="1">
        <f t="shared" si="3"/>
        <v>307000000</v>
      </c>
      <c r="G9" s="1">
        <f t="shared" si="4"/>
        <v>200000</v>
      </c>
      <c r="H9" s="1">
        <v>1787.8066610000001</v>
      </c>
      <c r="I9" s="1">
        <f t="shared" si="5"/>
        <v>893903330.5</v>
      </c>
      <c r="J9" s="1">
        <f t="shared" si="6"/>
        <v>433403330.5</v>
      </c>
      <c r="K9" s="2">
        <f t="shared" si="7"/>
        <v>126403330.5</v>
      </c>
    </row>
    <row r="10" spans="1:11" x14ac:dyDescent="0.3">
      <c r="A10" s="1">
        <v>8</v>
      </c>
      <c r="B10" s="1">
        <v>500000</v>
      </c>
      <c r="C10" s="1">
        <f t="shared" si="0"/>
        <v>1535</v>
      </c>
      <c r="D10" s="1">
        <f t="shared" si="1"/>
        <v>767500000</v>
      </c>
      <c r="E10" s="1">
        <f t="shared" si="2"/>
        <v>460500000</v>
      </c>
      <c r="F10" s="1">
        <f t="shared" si="3"/>
        <v>307000000</v>
      </c>
      <c r="G10" s="1">
        <f t="shared" si="4"/>
        <v>200000</v>
      </c>
      <c r="H10" s="1">
        <v>1830.0858909999999</v>
      </c>
      <c r="I10" s="1">
        <f t="shared" si="5"/>
        <v>915042945.5</v>
      </c>
      <c r="J10" s="1">
        <f t="shared" si="6"/>
        <v>454542945.5</v>
      </c>
      <c r="K10" s="2">
        <f t="shared" si="7"/>
        <v>147542945.5</v>
      </c>
    </row>
    <row r="11" spans="1:11" x14ac:dyDescent="0.3">
      <c r="A11" s="1">
        <v>9</v>
      </c>
      <c r="B11" s="1">
        <v>500000</v>
      </c>
      <c r="C11" s="1">
        <f t="shared" si="0"/>
        <v>1535</v>
      </c>
      <c r="D11" s="1">
        <f t="shared" si="1"/>
        <v>767500000</v>
      </c>
      <c r="E11" s="1">
        <f t="shared" si="2"/>
        <v>460500000</v>
      </c>
      <c r="F11" s="1">
        <f t="shared" si="3"/>
        <v>307000000</v>
      </c>
      <c r="G11" s="1">
        <f t="shared" si="4"/>
        <v>200000</v>
      </c>
      <c r="H11" s="1">
        <v>1861.711789</v>
      </c>
      <c r="I11" s="1">
        <f t="shared" si="5"/>
        <v>930855894.5</v>
      </c>
      <c r="J11" s="1">
        <f t="shared" si="6"/>
        <v>470355894.5</v>
      </c>
      <c r="K11" s="2">
        <f t="shared" si="7"/>
        <v>163355894.5</v>
      </c>
    </row>
    <row r="12" spans="1:11" x14ac:dyDescent="0.3">
      <c r="A12" s="1">
        <v>10</v>
      </c>
      <c r="B12" s="1">
        <v>500000</v>
      </c>
      <c r="C12" s="1">
        <f t="shared" si="0"/>
        <v>1535</v>
      </c>
      <c r="D12" s="1">
        <f t="shared" si="1"/>
        <v>767500000</v>
      </c>
      <c r="E12" s="1">
        <f t="shared" si="2"/>
        <v>460500000</v>
      </c>
      <c r="F12" s="1">
        <f t="shared" si="3"/>
        <v>307000000</v>
      </c>
      <c r="G12" s="1">
        <f t="shared" si="4"/>
        <v>200000</v>
      </c>
      <c r="H12" s="1">
        <v>1878.257122</v>
      </c>
      <c r="I12" s="1">
        <f t="shared" si="5"/>
        <v>939128561</v>
      </c>
      <c r="J12" s="1">
        <f t="shared" si="6"/>
        <v>478628561</v>
      </c>
      <c r="K12" s="2">
        <f t="shared" si="7"/>
        <v>171628561</v>
      </c>
    </row>
    <row r="13" spans="1:11" x14ac:dyDescent="0.3">
      <c r="A13" s="1">
        <v>11</v>
      </c>
      <c r="B13" s="1">
        <v>500000</v>
      </c>
      <c r="C13" s="1">
        <f t="shared" si="0"/>
        <v>1535</v>
      </c>
      <c r="D13" s="1">
        <f t="shared" si="1"/>
        <v>767500000</v>
      </c>
      <c r="E13" s="1">
        <f t="shared" si="2"/>
        <v>460500000</v>
      </c>
      <c r="F13" s="1">
        <f t="shared" si="3"/>
        <v>307000000</v>
      </c>
      <c r="G13" s="1">
        <f t="shared" si="4"/>
        <v>200000</v>
      </c>
      <c r="H13" s="1">
        <v>1900.6001690000001</v>
      </c>
      <c r="I13" s="1">
        <f t="shared" si="5"/>
        <v>950300084.5</v>
      </c>
      <c r="J13" s="1">
        <f t="shared" si="6"/>
        <v>489800084.5</v>
      </c>
      <c r="K13" s="2">
        <f t="shared" si="7"/>
        <v>182800084.5</v>
      </c>
    </row>
    <row r="14" spans="1:11" ht="15" thickBot="1" x14ac:dyDescent="0.35">
      <c r="A14" s="1">
        <v>12</v>
      </c>
      <c r="B14" s="1">
        <v>500000</v>
      </c>
      <c r="C14" s="1">
        <f t="shared" si="0"/>
        <v>1535</v>
      </c>
      <c r="D14" s="1">
        <f t="shared" si="1"/>
        <v>767500000</v>
      </c>
      <c r="E14" s="1">
        <f t="shared" si="2"/>
        <v>460500000</v>
      </c>
      <c r="F14" s="1">
        <f t="shared" si="3"/>
        <v>307000000</v>
      </c>
      <c r="G14" s="1">
        <f t="shared" si="4"/>
        <v>200000</v>
      </c>
      <c r="H14" s="1">
        <v>1964.4629870000001</v>
      </c>
      <c r="I14" s="1">
        <f t="shared" si="5"/>
        <v>982231493.5</v>
      </c>
      <c r="J14" s="1">
        <f t="shared" si="6"/>
        <v>521731493.5</v>
      </c>
      <c r="K14" s="2">
        <f t="shared" si="7"/>
        <v>214731493.5</v>
      </c>
    </row>
    <row r="15" spans="1:11" ht="15" thickBot="1" x14ac:dyDescent="0.35">
      <c r="F15" s="4">
        <f>SUM(F3:F14)</f>
        <v>3684000000</v>
      </c>
      <c r="J15" s="4">
        <f>SUM(J3:J14)</f>
        <v>5127954321</v>
      </c>
      <c r="K15" s="5">
        <f t="shared" si="7"/>
        <v>1443954321</v>
      </c>
    </row>
    <row r="16" spans="1:11" x14ac:dyDescent="0.3">
      <c r="A16" s="1" t="s">
        <v>16</v>
      </c>
      <c r="C16" s="1">
        <v>1.04E-2</v>
      </c>
      <c r="D16" s="3" t="s">
        <v>13</v>
      </c>
    </row>
    <row r="17" spans="1:11" x14ac:dyDescent="0.3">
      <c r="A17" s="1" t="s">
        <v>0</v>
      </c>
      <c r="B17" s="1" t="s">
        <v>1</v>
      </c>
      <c r="C17" s="1" t="s">
        <v>2</v>
      </c>
      <c r="D17" s="1" t="s">
        <v>8</v>
      </c>
      <c r="E17" s="1" t="s">
        <v>4</v>
      </c>
      <c r="F17" s="1" t="s">
        <v>10</v>
      </c>
      <c r="G17" s="1" t="s">
        <v>5</v>
      </c>
      <c r="H17" s="1" t="s">
        <v>7</v>
      </c>
      <c r="I17" s="1" t="s">
        <v>9</v>
      </c>
      <c r="J17" s="1" t="s">
        <v>12</v>
      </c>
      <c r="K17" s="2" t="s">
        <v>11</v>
      </c>
    </row>
    <row r="18" spans="1:11" x14ac:dyDescent="0.3">
      <c r="A18" s="1">
        <v>1</v>
      </c>
      <c r="B18" s="1">
        <v>500000</v>
      </c>
      <c r="C18" s="1">
        <f>$C$1*POWER(1+$C$16,A18-1)</f>
        <v>1535</v>
      </c>
      <c r="D18" s="1">
        <f>B18*C18</f>
        <v>767500000</v>
      </c>
      <c r="E18" s="1">
        <f>300000*$C$1</f>
        <v>460500000</v>
      </c>
      <c r="F18" s="1">
        <f>D18-E18</f>
        <v>307000000</v>
      </c>
      <c r="G18" s="1">
        <f>F18/C18</f>
        <v>200000</v>
      </c>
      <c r="H18" s="1">
        <v>1610.618882</v>
      </c>
      <c r="I18" s="1">
        <f>H18*B18</f>
        <v>805309441</v>
      </c>
      <c r="J18" s="1">
        <f>I18-E18</f>
        <v>344809441</v>
      </c>
      <c r="K18" s="2">
        <f>J18-F18</f>
        <v>37809441</v>
      </c>
    </row>
    <row r="19" spans="1:11" x14ac:dyDescent="0.3">
      <c r="A19" s="1">
        <v>2</v>
      </c>
      <c r="B19" s="1">
        <v>500000</v>
      </c>
      <c r="C19" s="1">
        <f t="shared" ref="C19:C29" si="8">$C$1*POWER(1+$C$16,A19-1)</f>
        <v>1550.9639999999999</v>
      </c>
      <c r="D19" s="1">
        <f>B19*C19</f>
        <v>775482000</v>
      </c>
      <c r="E19" s="1">
        <f t="shared" ref="E19:E29" si="9">300000*$C$1</f>
        <v>460500000</v>
      </c>
      <c r="F19" s="1">
        <f t="shared" ref="F19:F29" si="10">D19-E19</f>
        <v>314982000</v>
      </c>
      <c r="G19" s="1">
        <f t="shared" ref="G19:G29" si="11">F19/C19</f>
        <v>203087.88598574823</v>
      </c>
      <c r="H19" s="1">
        <v>1640.234209</v>
      </c>
      <c r="I19" s="1">
        <f t="shared" ref="I19:I29" si="12">H19*B19</f>
        <v>820117104.5</v>
      </c>
      <c r="J19" s="1">
        <f t="shared" ref="J19:J29" si="13">I19-E19</f>
        <v>359617104.5</v>
      </c>
      <c r="K19" s="2">
        <f t="shared" ref="K19:K30" si="14">J19-F19</f>
        <v>44635104.5</v>
      </c>
    </row>
    <row r="20" spans="1:11" x14ac:dyDescent="0.3">
      <c r="A20" s="1">
        <v>3</v>
      </c>
      <c r="B20" s="1">
        <v>500000</v>
      </c>
      <c r="C20" s="1">
        <f t="shared" si="8"/>
        <v>1567.0940255999997</v>
      </c>
      <c r="D20" s="1">
        <f t="shared" ref="D20:D29" si="15">B20*C20</f>
        <v>783547012.79999983</v>
      </c>
      <c r="E20" s="1">
        <f t="shared" si="9"/>
        <v>460500000</v>
      </c>
      <c r="F20" s="1">
        <f t="shared" si="10"/>
        <v>323047012.79999983</v>
      </c>
      <c r="G20" s="1">
        <f t="shared" si="11"/>
        <v>206143.98850529312</v>
      </c>
      <c r="H20" s="1">
        <v>1663.865877</v>
      </c>
      <c r="I20" s="1">
        <f t="shared" si="12"/>
        <v>831932938.5</v>
      </c>
      <c r="J20" s="1">
        <f t="shared" si="13"/>
        <v>371432938.5</v>
      </c>
      <c r="K20" s="2">
        <f t="shared" si="14"/>
        <v>48385925.700000167</v>
      </c>
    </row>
    <row r="21" spans="1:11" x14ac:dyDescent="0.3">
      <c r="A21" s="1">
        <v>4</v>
      </c>
      <c r="B21" s="1">
        <v>500000</v>
      </c>
      <c r="C21" s="1">
        <f t="shared" si="8"/>
        <v>1583.3918034662397</v>
      </c>
      <c r="D21" s="1">
        <f t="shared" si="15"/>
        <v>791695901.73311985</v>
      </c>
      <c r="E21" s="1">
        <f t="shared" si="9"/>
        <v>460500000</v>
      </c>
      <c r="F21" s="1">
        <f t="shared" si="10"/>
        <v>331195901.73311985</v>
      </c>
      <c r="G21" s="1">
        <f t="shared" si="11"/>
        <v>209168.63470436769</v>
      </c>
      <c r="H21" s="1">
        <v>1693.1592720000001</v>
      </c>
      <c r="I21" s="1">
        <f t="shared" si="12"/>
        <v>846579636</v>
      </c>
      <c r="J21" s="1">
        <f t="shared" si="13"/>
        <v>386079636</v>
      </c>
      <c r="K21" s="2">
        <f t="shared" si="14"/>
        <v>54883734.266880155</v>
      </c>
    </row>
    <row r="22" spans="1:11" x14ac:dyDescent="0.3">
      <c r="A22" s="1">
        <v>5</v>
      </c>
      <c r="B22" s="1">
        <v>500000</v>
      </c>
      <c r="C22" s="1">
        <f t="shared" si="8"/>
        <v>1599.8590782222884</v>
      </c>
      <c r="D22" s="1">
        <f t="shared" si="15"/>
        <v>799929539.11114419</v>
      </c>
      <c r="E22" s="1">
        <f t="shared" si="9"/>
        <v>460500000</v>
      </c>
      <c r="F22" s="1">
        <f t="shared" si="10"/>
        <v>339429539.11114419</v>
      </c>
      <c r="G22" s="1">
        <f t="shared" si="11"/>
        <v>212162.148361409</v>
      </c>
      <c r="H22" s="1">
        <v>1723.595636</v>
      </c>
      <c r="I22" s="1">
        <f t="shared" si="12"/>
        <v>861797818</v>
      </c>
      <c r="J22" s="1">
        <f t="shared" si="13"/>
        <v>401297818</v>
      </c>
      <c r="K22" s="2">
        <f t="shared" si="14"/>
        <v>61868278.888855815</v>
      </c>
    </row>
    <row r="23" spans="1:11" x14ac:dyDescent="0.3">
      <c r="A23" s="1">
        <v>6</v>
      </c>
      <c r="B23" s="1">
        <v>500000</v>
      </c>
      <c r="C23" s="1">
        <f t="shared" si="8"/>
        <v>1616.4976126358001</v>
      </c>
      <c r="D23" s="1">
        <f t="shared" si="15"/>
        <v>808248806.31790006</v>
      </c>
      <c r="E23" s="1">
        <f t="shared" si="9"/>
        <v>460500000</v>
      </c>
      <c r="F23" s="1">
        <f t="shared" si="10"/>
        <v>347748806.31790006</v>
      </c>
      <c r="G23" s="1">
        <f t="shared" si="11"/>
        <v>215124.84992221792</v>
      </c>
      <c r="H23" s="1">
        <v>1753.510147</v>
      </c>
      <c r="I23" s="1">
        <f t="shared" si="12"/>
        <v>876755073.5</v>
      </c>
      <c r="J23" s="1">
        <f t="shared" si="13"/>
        <v>416255073.5</v>
      </c>
      <c r="K23" s="2">
        <f>J23-F23</f>
        <v>68506267.182099938</v>
      </c>
    </row>
    <row r="24" spans="1:11" x14ac:dyDescent="0.3">
      <c r="A24" s="1">
        <v>7</v>
      </c>
      <c r="B24" s="1">
        <v>500000</v>
      </c>
      <c r="C24" s="1">
        <f t="shared" si="8"/>
        <v>1633.3091878072121</v>
      </c>
      <c r="D24" s="1">
        <f t="shared" si="15"/>
        <v>816654593.90360606</v>
      </c>
      <c r="E24" s="1">
        <f t="shared" si="9"/>
        <v>460500000</v>
      </c>
      <c r="F24" s="1">
        <f t="shared" si="10"/>
        <v>356154593.90360606</v>
      </c>
      <c r="G24" s="1">
        <f t="shared" si="11"/>
        <v>218057.05653426156</v>
      </c>
      <c r="H24" s="1">
        <v>1787.8066610000001</v>
      </c>
      <c r="I24" s="1">
        <f t="shared" si="12"/>
        <v>893903330.5</v>
      </c>
      <c r="J24" s="1">
        <f t="shared" si="13"/>
        <v>433403330.5</v>
      </c>
      <c r="K24" s="2">
        <f t="shared" si="14"/>
        <v>77248736.596393943</v>
      </c>
    </row>
    <row r="25" spans="1:11" x14ac:dyDescent="0.3">
      <c r="A25" s="1">
        <v>8</v>
      </c>
      <c r="B25" s="1">
        <v>500000</v>
      </c>
      <c r="C25" s="1">
        <f t="shared" si="8"/>
        <v>1650.2956033604071</v>
      </c>
      <c r="D25" s="1">
        <f t="shared" si="15"/>
        <v>825147801.68020356</v>
      </c>
      <c r="E25" s="1">
        <f t="shared" si="9"/>
        <v>460500000</v>
      </c>
      <c r="F25" s="1">
        <f t="shared" si="10"/>
        <v>364647801.68020356</v>
      </c>
      <c r="G25" s="1">
        <f t="shared" si="11"/>
        <v>220959.08208062308</v>
      </c>
      <c r="H25" s="1">
        <v>1830.0858909999999</v>
      </c>
      <c r="I25" s="1">
        <f t="shared" si="12"/>
        <v>915042945.5</v>
      </c>
      <c r="J25" s="1">
        <f t="shared" si="13"/>
        <v>454542945.5</v>
      </c>
      <c r="K25" s="2">
        <f t="shared" si="14"/>
        <v>89895143.819796443</v>
      </c>
    </row>
    <row r="26" spans="1:11" x14ac:dyDescent="0.3">
      <c r="A26" s="1">
        <v>9</v>
      </c>
      <c r="B26" s="1">
        <v>500000</v>
      </c>
      <c r="C26" s="1">
        <f t="shared" si="8"/>
        <v>1667.4586776353549</v>
      </c>
      <c r="D26" s="1">
        <f t="shared" si="15"/>
        <v>833729338.8176775</v>
      </c>
      <c r="E26" s="1">
        <f t="shared" si="9"/>
        <v>460500000</v>
      </c>
      <c r="F26" s="1">
        <f t="shared" si="10"/>
        <v>373229338.8176775</v>
      </c>
      <c r="G26" s="1">
        <f t="shared" si="11"/>
        <v>223831.23721360156</v>
      </c>
      <c r="H26" s="1">
        <v>1861.711789</v>
      </c>
      <c r="I26" s="1">
        <f t="shared" si="12"/>
        <v>930855894.5</v>
      </c>
      <c r="J26" s="1">
        <f t="shared" si="13"/>
        <v>470355894.5</v>
      </c>
      <c r="K26" s="2">
        <f t="shared" si="14"/>
        <v>97126555.682322502</v>
      </c>
    </row>
    <row r="27" spans="1:11" x14ac:dyDescent="0.3">
      <c r="A27" s="1">
        <v>10</v>
      </c>
      <c r="B27" s="1">
        <v>500000</v>
      </c>
      <c r="C27" s="1">
        <f t="shared" si="8"/>
        <v>1684.8002478827627</v>
      </c>
      <c r="D27" s="1">
        <f t="shared" si="15"/>
        <v>842400123.94138134</v>
      </c>
      <c r="E27" s="1">
        <f t="shared" si="9"/>
        <v>460500000</v>
      </c>
      <c r="F27" s="1">
        <f t="shared" si="10"/>
        <v>381900123.94138134</v>
      </c>
      <c r="G27" s="1">
        <f t="shared" si="11"/>
        <v>226673.82938796669</v>
      </c>
      <c r="H27" s="1">
        <v>1878.257122</v>
      </c>
      <c r="I27" s="1">
        <f t="shared" si="12"/>
        <v>939128561</v>
      </c>
      <c r="J27" s="1">
        <f t="shared" si="13"/>
        <v>478628561</v>
      </c>
      <c r="K27" s="2">
        <f t="shared" si="14"/>
        <v>96728437.058618665</v>
      </c>
    </row>
    <row r="28" spans="1:11" x14ac:dyDescent="0.3">
      <c r="A28" s="1">
        <v>11</v>
      </c>
      <c r="B28" s="1">
        <v>500000</v>
      </c>
      <c r="C28" s="1">
        <f t="shared" si="8"/>
        <v>1702.3221704607431</v>
      </c>
      <c r="D28" s="1">
        <f t="shared" si="15"/>
        <v>851161085.23037159</v>
      </c>
      <c r="E28" s="1">
        <f t="shared" si="9"/>
        <v>460500000</v>
      </c>
      <c r="F28" s="1">
        <f t="shared" si="10"/>
        <v>390661085.23037159</v>
      </c>
      <c r="G28" s="1">
        <f t="shared" si="11"/>
        <v>229487.16289387041</v>
      </c>
      <c r="H28" s="1">
        <v>1900.6001690000001</v>
      </c>
      <c r="I28" s="1">
        <f t="shared" si="12"/>
        <v>950300084.5</v>
      </c>
      <c r="J28" s="1">
        <f t="shared" si="13"/>
        <v>489800084.5</v>
      </c>
      <c r="K28" s="2">
        <f t="shared" si="14"/>
        <v>99138999.269628406</v>
      </c>
    </row>
    <row r="29" spans="1:11" ht="15" thickBot="1" x14ac:dyDescent="0.35">
      <c r="A29" s="1">
        <v>12</v>
      </c>
      <c r="B29" s="1">
        <v>500000</v>
      </c>
      <c r="C29" s="1">
        <f t="shared" si="8"/>
        <v>1720.0263210335347</v>
      </c>
      <c r="D29" s="1">
        <f t="shared" si="15"/>
        <v>860013160.51676738</v>
      </c>
      <c r="E29" s="1">
        <f t="shared" si="9"/>
        <v>460500000</v>
      </c>
      <c r="F29" s="1">
        <f t="shared" si="10"/>
        <v>399513160.51676738</v>
      </c>
      <c r="G29" s="1">
        <f t="shared" si="11"/>
        <v>232271.53888942042</v>
      </c>
      <c r="H29" s="1">
        <v>1964.4629870000001</v>
      </c>
      <c r="I29" s="1">
        <f t="shared" si="12"/>
        <v>982231493.5</v>
      </c>
      <c r="J29" s="1">
        <f t="shared" si="13"/>
        <v>521731493.5</v>
      </c>
      <c r="K29" s="2">
        <f t="shared" si="14"/>
        <v>122218332.98323262</v>
      </c>
    </row>
    <row r="30" spans="1:11" ht="15" thickBot="1" x14ac:dyDescent="0.35">
      <c r="F30" s="4">
        <f>SUM(F18:F29)</f>
        <v>4229509364.0521712</v>
      </c>
      <c r="J30" s="4">
        <f>SUM(J18:J29)</f>
        <v>5127954321</v>
      </c>
      <c r="K30" s="5">
        <f t="shared" si="14"/>
        <v>898444956.94782877</v>
      </c>
    </row>
    <row r="31" spans="1:11" x14ac:dyDescent="0.3">
      <c r="A31" s="1" t="s">
        <v>15</v>
      </c>
      <c r="C31" s="1">
        <f>C16*2.5</f>
        <v>2.5999999999999999E-2</v>
      </c>
      <c r="D31" s="3" t="s">
        <v>14</v>
      </c>
    </row>
    <row r="32" spans="1:11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10</v>
      </c>
      <c r="G32" s="1" t="s">
        <v>5</v>
      </c>
      <c r="H32" s="1" t="s">
        <v>7</v>
      </c>
      <c r="I32" s="1" t="s">
        <v>9</v>
      </c>
      <c r="J32" s="1" t="s">
        <v>12</v>
      </c>
      <c r="K32" s="2" t="s">
        <v>11</v>
      </c>
    </row>
    <row r="33" spans="1:11" x14ac:dyDescent="0.3">
      <c r="A33" s="1">
        <v>1</v>
      </c>
      <c r="B33" s="1">
        <v>500000</v>
      </c>
      <c r="C33" s="1">
        <f>$C$1*POWER(1+$C$31,A33-1)</f>
        <v>1535</v>
      </c>
      <c r="D33" s="1">
        <f>B33*C33</f>
        <v>767500000</v>
      </c>
      <c r="E33" s="1">
        <f>300000*$C$1</f>
        <v>460500000</v>
      </c>
      <c r="F33" s="1">
        <f>D33-E33</f>
        <v>307000000</v>
      </c>
      <c r="G33" s="1">
        <f>F33/C33</f>
        <v>200000</v>
      </c>
      <c r="H33" s="1">
        <v>1610.618882</v>
      </c>
      <c r="I33" s="1">
        <f>H33*B33</f>
        <v>805309441</v>
      </c>
      <c r="J33" s="1">
        <f>I33-E33</f>
        <v>344809441</v>
      </c>
      <c r="K33" s="2">
        <f>J33-F33</f>
        <v>37809441</v>
      </c>
    </row>
    <row r="34" spans="1:11" x14ac:dyDescent="0.3">
      <c r="A34" s="1">
        <v>2</v>
      </c>
      <c r="B34" s="1">
        <v>500000</v>
      </c>
      <c r="C34" s="1">
        <f>$C$1*POWER(1+$C$31,A34-1)</f>
        <v>1574.91</v>
      </c>
      <c r="D34" s="1">
        <f>B34*C34</f>
        <v>787455000</v>
      </c>
      <c r="E34" s="1">
        <f t="shared" ref="E34:E44" si="16">300000*$C$1</f>
        <v>460500000</v>
      </c>
      <c r="F34" s="1">
        <f t="shared" ref="F34:F44" si="17">D34-E34</f>
        <v>326955000</v>
      </c>
      <c r="G34" s="1">
        <f t="shared" ref="G34:G44" si="18">F34/C34</f>
        <v>207602.33918128654</v>
      </c>
      <c r="H34" s="1">
        <v>1640.234209</v>
      </c>
      <c r="I34" s="1">
        <f t="shared" ref="I34:I44" si="19">H34*B34</f>
        <v>820117104.5</v>
      </c>
      <c r="J34" s="1">
        <f t="shared" ref="J34:J44" si="20">I34-E34</f>
        <v>359617104.5</v>
      </c>
      <c r="K34" s="2">
        <f t="shared" ref="K34:K45" si="21">J34-F34</f>
        <v>32662104.5</v>
      </c>
    </row>
    <row r="35" spans="1:11" x14ac:dyDescent="0.3">
      <c r="A35" s="1">
        <v>3</v>
      </c>
      <c r="B35" s="1">
        <v>500000</v>
      </c>
      <c r="C35" s="1">
        <f t="shared" ref="C35:C44" si="22">$C$1*POWER(1+$C$31,A35-1)</f>
        <v>1615.8576599999999</v>
      </c>
      <c r="D35" s="1">
        <f t="shared" ref="D35:D44" si="23">B35*C35</f>
        <v>807928830</v>
      </c>
      <c r="E35" s="1">
        <f t="shared" si="16"/>
        <v>460500000</v>
      </c>
      <c r="F35" s="1">
        <f t="shared" si="17"/>
        <v>347428830</v>
      </c>
      <c r="G35" s="1">
        <f t="shared" si="18"/>
        <v>215012.02649248202</v>
      </c>
      <c r="H35" s="1">
        <v>1663.865877</v>
      </c>
      <c r="I35" s="1">
        <f t="shared" si="19"/>
        <v>831932938.5</v>
      </c>
      <c r="J35" s="1">
        <f t="shared" si="20"/>
        <v>371432938.5</v>
      </c>
      <c r="K35" s="2">
        <f t="shared" si="21"/>
        <v>24004108.5</v>
      </c>
    </row>
    <row r="36" spans="1:11" x14ac:dyDescent="0.3">
      <c r="A36" s="1">
        <v>4</v>
      </c>
      <c r="B36" s="1">
        <v>500000</v>
      </c>
      <c r="C36" s="1">
        <f t="shared" si="22"/>
        <v>1657.86995916</v>
      </c>
      <c r="D36" s="1">
        <f t="shared" si="23"/>
        <v>828934979.58000004</v>
      </c>
      <c r="E36" s="1">
        <f t="shared" si="16"/>
        <v>460500000</v>
      </c>
      <c r="F36" s="1">
        <f t="shared" si="17"/>
        <v>368434979.58000004</v>
      </c>
      <c r="G36" s="1">
        <f t="shared" si="18"/>
        <v>222233.94394978756</v>
      </c>
      <c r="H36" s="1">
        <v>1693.1592720000001</v>
      </c>
      <c r="I36" s="1">
        <f t="shared" si="19"/>
        <v>846579636</v>
      </c>
      <c r="J36" s="1">
        <f t="shared" si="20"/>
        <v>386079636</v>
      </c>
      <c r="K36" s="2">
        <f t="shared" si="21"/>
        <v>17644656.419999957</v>
      </c>
    </row>
    <row r="37" spans="1:11" x14ac:dyDescent="0.3">
      <c r="A37" s="1">
        <v>5</v>
      </c>
      <c r="B37" s="1">
        <v>500000</v>
      </c>
      <c r="C37" s="1">
        <f t="shared" si="22"/>
        <v>1700.97457809816</v>
      </c>
      <c r="D37" s="1">
        <f t="shared" si="23"/>
        <v>850487289.04908001</v>
      </c>
      <c r="E37" s="1">
        <f t="shared" si="16"/>
        <v>460500000</v>
      </c>
      <c r="F37" s="1">
        <f t="shared" si="17"/>
        <v>389987289.04908001</v>
      </c>
      <c r="G37" s="1">
        <f t="shared" si="18"/>
        <v>229272.84985359409</v>
      </c>
      <c r="H37" s="1">
        <v>1723.595636</v>
      </c>
      <c r="I37" s="1">
        <f t="shared" si="19"/>
        <v>861797818</v>
      </c>
      <c r="J37" s="1">
        <f t="shared" si="20"/>
        <v>401297818</v>
      </c>
      <c r="K37" s="2">
        <f t="shared" si="21"/>
        <v>11310528.950919986</v>
      </c>
    </row>
    <row r="38" spans="1:11" x14ac:dyDescent="0.3">
      <c r="A38" s="1">
        <v>6</v>
      </c>
      <c r="B38" s="1">
        <v>500000</v>
      </c>
      <c r="C38" s="1">
        <f t="shared" si="22"/>
        <v>1745.1999171287123</v>
      </c>
      <c r="D38" s="1">
        <f t="shared" si="23"/>
        <v>872599958.56435609</v>
      </c>
      <c r="E38" s="1">
        <f t="shared" si="16"/>
        <v>460500000</v>
      </c>
      <c r="F38" s="1">
        <f t="shared" si="17"/>
        <v>412099958.56435609</v>
      </c>
      <c r="G38" s="1">
        <f t="shared" si="18"/>
        <v>236133.38192358098</v>
      </c>
      <c r="H38" s="1">
        <v>1753.510147</v>
      </c>
      <c r="I38" s="1">
        <f t="shared" si="19"/>
        <v>876755073.5</v>
      </c>
      <c r="J38" s="1">
        <f t="shared" si="20"/>
        <v>416255073.5</v>
      </c>
      <c r="K38" s="2">
        <f t="shared" si="21"/>
        <v>4155114.9356439114</v>
      </c>
    </row>
    <row r="39" spans="1:11" x14ac:dyDescent="0.3">
      <c r="A39" s="1">
        <v>7</v>
      </c>
      <c r="B39" s="1">
        <v>500000</v>
      </c>
      <c r="C39" s="1">
        <f t="shared" si="22"/>
        <v>1790.5751149740586</v>
      </c>
      <c r="D39" s="1">
        <f t="shared" si="23"/>
        <v>895287557.48702931</v>
      </c>
      <c r="E39" s="1">
        <f t="shared" si="16"/>
        <v>460500000</v>
      </c>
      <c r="F39" s="1">
        <f t="shared" si="17"/>
        <v>434787557.48702931</v>
      </c>
      <c r="G39" s="1">
        <f t="shared" si="18"/>
        <v>242820.06035436742</v>
      </c>
      <c r="H39" s="1">
        <v>1787.8066610000001</v>
      </c>
      <c r="I39" s="1">
        <f t="shared" si="19"/>
        <v>893903330.5</v>
      </c>
      <c r="J39" s="1">
        <f t="shared" si="20"/>
        <v>433403330.5</v>
      </c>
      <c r="K39" s="2">
        <f t="shared" si="21"/>
        <v>-1384226.987029314</v>
      </c>
    </row>
    <row r="40" spans="1:11" x14ac:dyDescent="0.3">
      <c r="A40" s="1">
        <v>8</v>
      </c>
      <c r="B40" s="1">
        <v>500000</v>
      </c>
      <c r="C40" s="1">
        <f t="shared" si="22"/>
        <v>1837.1300679633841</v>
      </c>
      <c r="D40" s="1">
        <f t="shared" si="23"/>
        <v>918565033.98169208</v>
      </c>
      <c r="E40" s="1">
        <f t="shared" si="16"/>
        <v>460500000</v>
      </c>
      <c r="F40" s="1">
        <f t="shared" si="17"/>
        <v>458065033.98169208</v>
      </c>
      <c r="G40" s="1">
        <f t="shared" si="18"/>
        <v>249337.29079373044</v>
      </c>
      <c r="H40" s="1">
        <v>1830.0858909999999</v>
      </c>
      <c r="I40" s="1">
        <f t="shared" si="19"/>
        <v>915042945.5</v>
      </c>
      <c r="J40" s="1">
        <f t="shared" si="20"/>
        <v>454542945.5</v>
      </c>
      <c r="K40" s="2">
        <f t="shared" si="21"/>
        <v>-3522088.4816920757</v>
      </c>
    </row>
    <row r="41" spans="1:11" x14ac:dyDescent="0.3">
      <c r="A41" s="1">
        <v>9</v>
      </c>
      <c r="B41" s="1">
        <v>500000</v>
      </c>
      <c r="C41" s="1">
        <f t="shared" si="22"/>
        <v>1884.8954497304319</v>
      </c>
      <c r="D41" s="1">
        <f t="shared" si="23"/>
        <v>942447724.8652159</v>
      </c>
      <c r="E41" s="1">
        <f t="shared" si="16"/>
        <v>460500000</v>
      </c>
      <c r="F41" s="1">
        <f t="shared" si="17"/>
        <v>481947724.8652159</v>
      </c>
      <c r="G41" s="1">
        <f t="shared" si="18"/>
        <v>255689.36724535126</v>
      </c>
      <c r="H41" s="1">
        <v>1861.711789</v>
      </c>
      <c r="I41" s="1">
        <f t="shared" si="19"/>
        <v>930855894.5</v>
      </c>
      <c r="J41" s="1">
        <f t="shared" si="20"/>
        <v>470355894.5</v>
      </c>
      <c r="K41" s="2">
        <f t="shared" si="21"/>
        <v>-11591830.365215898</v>
      </c>
    </row>
    <row r="42" spans="1:11" x14ac:dyDescent="0.3">
      <c r="A42" s="1">
        <v>10</v>
      </c>
      <c r="B42" s="1">
        <v>500000</v>
      </c>
      <c r="C42" s="1">
        <f t="shared" si="22"/>
        <v>1933.9027314234231</v>
      </c>
      <c r="D42" s="1">
        <f t="shared" si="23"/>
        <v>966951365.71171153</v>
      </c>
      <c r="E42" s="1">
        <f t="shared" si="16"/>
        <v>460500000</v>
      </c>
      <c r="F42" s="1">
        <f t="shared" si="17"/>
        <v>506451365.71171153</v>
      </c>
      <c r="G42" s="1">
        <f t="shared" si="18"/>
        <v>261880.47489800316</v>
      </c>
      <c r="H42" s="1">
        <v>1878.257122</v>
      </c>
      <c r="I42" s="1">
        <f t="shared" si="19"/>
        <v>939128561</v>
      </c>
      <c r="J42" s="1">
        <f t="shared" si="20"/>
        <v>478628561</v>
      </c>
      <c r="K42" s="2">
        <f t="shared" si="21"/>
        <v>-27822804.711711526</v>
      </c>
    </row>
    <row r="43" spans="1:11" x14ac:dyDescent="0.3">
      <c r="A43" s="1">
        <v>11</v>
      </c>
      <c r="B43" s="1">
        <v>500000</v>
      </c>
      <c r="C43" s="1">
        <f t="shared" si="22"/>
        <v>1984.184202440432</v>
      </c>
      <c r="D43" s="1">
        <f t="shared" si="23"/>
        <v>992092101.22021604</v>
      </c>
      <c r="E43" s="1">
        <f t="shared" si="16"/>
        <v>460500000</v>
      </c>
      <c r="F43" s="1">
        <f t="shared" si="17"/>
        <v>531592101.22021604</v>
      </c>
      <c r="G43" s="1">
        <f t="shared" si="18"/>
        <v>267914.69288304402</v>
      </c>
      <c r="H43" s="1">
        <v>1900.6001690000001</v>
      </c>
      <c r="I43" s="1">
        <f t="shared" si="19"/>
        <v>950300084.5</v>
      </c>
      <c r="J43" s="1">
        <f t="shared" si="20"/>
        <v>489800084.5</v>
      </c>
      <c r="K43" s="2">
        <f t="shared" si="21"/>
        <v>-41792016.720216036</v>
      </c>
    </row>
    <row r="44" spans="1:11" ht="15" thickBot="1" x14ac:dyDescent="0.35">
      <c r="A44" s="1">
        <v>12</v>
      </c>
      <c r="B44" s="1">
        <v>500000</v>
      </c>
      <c r="C44" s="1">
        <f t="shared" si="22"/>
        <v>2035.7729917038832</v>
      </c>
      <c r="D44" s="1">
        <f t="shared" si="23"/>
        <v>1017886495.8519416</v>
      </c>
      <c r="E44" s="1">
        <f t="shared" si="16"/>
        <v>460500000</v>
      </c>
      <c r="F44" s="1">
        <f t="shared" si="17"/>
        <v>557386495.85194159</v>
      </c>
      <c r="G44" s="1">
        <f t="shared" si="18"/>
        <v>273795.99696203117</v>
      </c>
      <c r="H44" s="1">
        <v>1964.4629870000001</v>
      </c>
      <c r="I44" s="1">
        <f t="shared" si="19"/>
        <v>982231493.5</v>
      </c>
      <c r="J44" s="1">
        <f t="shared" si="20"/>
        <v>521731493.5</v>
      </c>
      <c r="K44" s="2">
        <f t="shared" si="21"/>
        <v>-35655002.351941586</v>
      </c>
    </row>
    <row r="45" spans="1:11" ht="15" thickBot="1" x14ac:dyDescent="0.35">
      <c r="F45" s="4">
        <f>SUM(F33:F44)</f>
        <v>5122136336.3112411</v>
      </c>
      <c r="J45" s="4">
        <f>SUM(J33:J44)</f>
        <v>5127954321</v>
      </c>
      <c r="K45" s="5">
        <f t="shared" si="21"/>
        <v>5817984.6887588501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giubi perez</dc:creator>
  <cp:lastModifiedBy>julian giubi perez</cp:lastModifiedBy>
  <dcterms:created xsi:type="dcterms:W3CDTF">2026-09-20T01:53:12Z</dcterms:created>
  <dcterms:modified xsi:type="dcterms:W3CDTF">2026-09-24T00:53:39Z</dcterms:modified>
</cp:coreProperties>
</file>